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rro\Documents\Credit Risk Model 2\"/>
    </mc:Choice>
  </mc:AlternateContent>
  <xr:revisionPtr revIDLastSave="0" documentId="13_ncr:1_{FBC21107-5263-478D-8327-6D60C20205F8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Plots" sheetId="1" r:id="rId1"/>
    <sheet name="New Template" sheetId="2" r:id="rId2"/>
    <sheet name="New Template (2)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M7" i="3"/>
  <c r="M6" i="3"/>
  <c r="M5" i="3"/>
  <c r="M3" i="3"/>
  <c r="M2" i="3"/>
  <c r="M8" i="2"/>
  <c r="M7" i="2"/>
  <c r="M6" i="2"/>
  <c r="M5" i="2"/>
  <c r="M3" i="2"/>
  <c r="M2" i="2"/>
</calcChain>
</file>

<file path=xl/sharedStrings.xml><?xml version="1.0" encoding="utf-8"?>
<sst xmlns="http://schemas.openxmlformats.org/spreadsheetml/2006/main" count="128" uniqueCount="64">
  <si>
    <t>Section</t>
  </si>
  <si>
    <t>Weights</t>
  </si>
  <si>
    <t>Parameters</t>
  </si>
  <si>
    <t>Values</t>
  </si>
  <si>
    <t>Very Low Max</t>
  </si>
  <si>
    <t>Low Max</t>
  </si>
  <si>
    <t>Ok Max</t>
  </si>
  <si>
    <t>High Max</t>
  </si>
  <si>
    <t>Very High Max</t>
  </si>
  <si>
    <t>Output</t>
  </si>
  <si>
    <t>Financial Data</t>
  </si>
  <si>
    <t>INPUTS</t>
  </si>
  <si>
    <t>Formulas</t>
  </si>
  <si>
    <t>Capacity</t>
  </si>
  <si>
    <t>Debt Service Coverage Ratio</t>
  </si>
  <si>
    <t>Total revenue</t>
  </si>
  <si>
    <t>Free Cash Flow</t>
  </si>
  <si>
    <t>EBITDA</t>
  </si>
  <si>
    <t>Average Interest Rate</t>
  </si>
  <si>
    <t>Operating income</t>
  </si>
  <si>
    <t>Gross Margin Ratio</t>
  </si>
  <si>
    <t>[Cash Flow Statement]</t>
  </si>
  <si>
    <t>Debt-to-Income</t>
  </si>
  <si>
    <t>Operational cash flow</t>
  </si>
  <si>
    <t>Capital</t>
  </si>
  <si>
    <t>Current Ratio</t>
  </si>
  <si>
    <t>Capital expenditure</t>
  </si>
  <si>
    <t>Debt to Equity</t>
  </si>
  <si>
    <t>Debt service</t>
  </si>
  <si>
    <t>External capital</t>
  </si>
  <si>
    <t>[Balance Sheet]</t>
  </si>
  <si>
    <t>Revenue growth rate annually</t>
  </si>
  <si>
    <t>Total current assets</t>
  </si>
  <si>
    <t>Company investors</t>
  </si>
  <si>
    <t>Total assets</t>
  </si>
  <si>
    <t>Condition</t>
  </si>
  <si>
    <t>Market entry barriers</t>
  </si>
  <si>
    <t>Total current liabilities</t>
  </si>
  <si>
    <t>Commodity Price Risk</t>
  </si>
  <si>
    <t>Total liabilities</t>
  </si>
  <si>
    <t>Industry-related government policy</t>
  </si>
  <si>
    <t>Total equity</t>
  </si>
  <si>
    <t>Sector</t>
  </si>
  <si>
    <t>Total debt</t>
  </si>
  <si>
    <t>Market traction</t>
  </si>
  <si>
    <t>Character</t>
  </si>
  <si>
    <t>Credit history of management</t>
  </si>
  <si>
    <t>Intellectual property rights and protections</t>
  </si>
  <si>
    <t>Time spent in an industry</t>
  </si>
  <si>
    <t>History of bankruptcy</t>
  </si>
  <si>
    <t>Number of employees</t>
  </si>
  <si>
    <t>Counterparty</t>
  </si>
  <si>
    <t>Size of counterparties</t>
  </si>
  <si>
    <t>Concentration risk</t>
  </si>
  <si>
    <t>Stability of PPAs (where relevant)</t>
  </si>
  <si>
    <t>Credit history of counterparty</t>
  </si>
  <si>
    <t>Relevant news on the company (counterparty)</t>
  </si>
  <si>
    <t>Collateral</t>
  </si>
  <si>
    <t>Fixed Asset Turnover Ratio</t>
  </si>
  <si>
    <t>Existing collateral obligations</t>
  </si>
  <si>
    <t>Asset recourse structure</t>
  </si>
  <si>
    <t>Personal or company donation of collateral?</t>
  </si>
  <si>
    <t>Description/Location of Collateral</t>
  </si>
  <si>
    <t>Final Score: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</si>
</sst>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name val="Aptos Narrow"/>
      <family val="2"/>
    </font>
    <font>
      <b/>
      <sz val="11"/>
      <name val="Aptos Narrow"/>
      <family val="2"/>
    </font>
    <font>
      <sz val="11"/>
      <color theme="1"/>
      <name val="Aptos Narrow"/>
      <family val="2"/>
      <scheme val="minor"/>
    </font>
    <font>
      <b/>
      <sz val="11"/>
      <name val="Aptos Narrow"/>
    </font>
    <font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/>
  </cellStyleXfs>
  <cellXfs count="16">
    <xf numFmtId="0" fontId="0" fillId="0" borderId="0" xfId="0"/>
    <xf numFmtId="0" fontId="0" fillId="3" borderId="0" xfId="0" applyFill="1"/>
    <xf numFmtId="0" fontId="0" fillId="2" borderId="0" xfId="0" applyFill="1"/>
    <xf numFmtId="0" fontId="0" fillId="4" borderId="1" xfId="0" applyFill="1" applyBorder="1"/>
    <xf numFmtId="9" fontId="0" fillId="4" borderId="1" xfId="1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0" fillId="4" borderId="2" xfId="0" applyFill="1" applyBorder="1"/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0" fontId="0" fillId="5" borderId="1" xfId="0" applyFill="1" applyBorder="1"/>
    <xf numFmtId="0" fontId="0" fillId="6" borderId="1" xfId="0" applyFill="1" applyBorder="1"/>
    <xf numFmtId="9" fontId="0" fillId="4" borderId="1" xfId="0" applyNumberFormat="1" applyFill="1" applyBorder="1"/>
    <xf numFmtId="0" fontId="4" fillId="4" borderId="1" xfId="0" applyFont="1" applyFill="1" applyBorder="1"/>
    <xf numFmtId="0" fontId="4" fillId="3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648575" cy="56292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648575" cy="5629275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648575" cy="5629275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648575" cy="5629275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467600" cy="5629275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467600" cy="5629275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467600" cy="5629275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0</xdr:col>
      <xdr:colOff>0</xdr:colOff>
      <xdr:row>0</xdr:row>
      <xdr:rowOff>0</xdr:rowOff>
    </xdr:from>
    <xdr:ext cx="7467600" cy="5629275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14</xdr:col>
      <xdr:colOff>0</xdr:colOff>
      <xdr:row>0</xdr:row>
      <xdr:rowOff>0</xdr:rowOff>
    </xdr:from>
    <xdr:ext cx="7239000" cy="7343775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0</xdr:colOff>
      <xdr:row>0</xdr:row>
      <xdr:rowOff>0</xdr:rowOff>
    </xdr:from>
    <xdr:ext cx="6715125" cy="6810375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13</xdr:col>
      <xdr:colOff>0</xdr:colOff>
      <xdr:row>0</xdr:row>
      <xdr:rowOff>0</xdr:rowOff>
    </xdr:from>
    <xdr:ext cx="8496300" cy="5638800"/>
    <xdr:pic>
      <xdr:nvPicPr>
        <xdr:cNvPr id="4" name="Image 4" descr="Pictur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13</xdr:col>
      <xdr:colOff>0</xdr:colOff>
      <xdr:row>31</xdr:row>
      <xdr:rowOff>0</xdr:rowOff>
    </xdr:from>
    <xdr:ext cx="8496300" cy="4200525"/>
    <xdr:pic>
      <xdr:nvPicPr>
        <xdr:cNvPr id="3" name="Image 3" descr="Pictur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0</xdr:colOff>
      <xdr:row>0</xdr:row>
      <xdr:rowOff>0</xdr:rowOff>
    </xdr:from>
    <xdr:ext cx="8496300" cy="5638800"/>
    <xdr:pic>
      <xdr:nvPicPr>
        <xdr:cNvPr id="2" name="Image 4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26</xdr:col>
      <xdr:colOff>0</xdr:colOff>
      <xdr:row>0</xdr:row>
      <xdr:rowOff>0</xdr:rowOff>
    </xdr:from>
    <xdr:ext cx="6715125" cy="6810375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17</xdr:row>
          <xdr:rowOff>19050</xdr:rowOff>
        </xdr:from>
        <xdr:to>
          <xdr:col>10</xdr:col>
          <xdr:colOff>1346200</xdr:colOff>
          <xdr:row>18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Formulas To Values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0</xdr:colOff>
      <xdr:row>0</xdr:row>
      <xdr:rowOff>0</xdr:rowOff>
    </xdr:from>
    <xdr:ext cx="6715125" cy="6810375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13</xdr:col>
      <xdr:colOff>0</xdr:colOff>
      <xdr:row>0</xdr:row>
      <xdr:rowOff>0</xdr:rowOff>
    </xdr:from>
    <xdr:ext cx="8496300" cy="5638800"/>
    <xdr:pic>
      <xdr:nvPicPr>
        <xdr:cNvPr id="4" name="Image 4" descr="Pictu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ln>
          <a:prstDash val="solid"/>
        </a:ln>
      </xdr:spPr>
    </xdr:pic>
    <xdr:clientData/>
  </xdr:oneCellAnchor>
  <xdr:oneCellAnchor>
    <xdr:from>
      <xdr:col>13</xdr:col>
      <xdr:colOff>0</xdr:colOff>
      <xdr:row>31</xdr:row>
      <xdr:rowOff>0</xdr:rowOff>
    </xdr:from>
    <xdr:ext cx="8496300" cy="4200525"/>
    <xdr:pic>
      <xdr:nvPicPr>
        <xdr:cNvPr id="3" name="Image 3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13</xdr:col>
      <xdr:colOff>0</xdr:colOff>
      <xdr:row>0</xdr:row>
      <xdr:rowOff>0</xdr:rowOff>
    </xdr:from>
    <xdr:ext cx="8496300" cy="5638800"/>
    <xdr:pic>
      <xdr:nvPicPr>
        <xdr:cNvPr id="2" name="Image 4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26</xdr:col>
      <xdr:colOff>0</xdr:colOff>
      <xdr:row>0</xdr:row>
      <xdr:rowOff>0</xdr:rowOff>
    </xdr:from>
    <xdr:ext cx="6715125" cy="6810375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17</xdr:row>
          <xdr:rowOff>19050</xdr:rowOff>
        </xdr:from>
        <xdr:to>
          <xdr:col>10</xdr:col>
          <xdr:colOff>1346200</xdr:colOff>
          <xdr:row>18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Formulas To Values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zoomScale="86" workbookViewId="0">
      <selection activeCell="I41" sqref="I4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M33"/>
  <sheetViews>
    <sheetView zoomScale="63" zoomScaleNormal="85" workbookViewId="0">
      <selection activeCell="K26" sqref="K26"/>
    </sheetView>
  </sheetViews>
  <sheetFormatPr defaultRowHeight="14.5" x14ac:dyDescent="0.35"/>
  <cols>
    <col min="1" max="1" width="17.453125" style="3" customWidth="1"/>
    <col min="2" max="2" width="8.7265625" style="3" customWidth="1"/>
    <col min="3" max="3" width="38.08984375" style="3" bestFit="1" customWidth="1"/>
    <col min="4" max="4" width="8.7265625" style="7" customWidth="1"/>
    <col min="5" max="5" width="15" style="3" customWidth="1"/>
    <col min="6" max="6" width="10.90625" style="3" customWidth="1"/>
    <col min="7" max="8" width="8.7265625" style="3" customWidth="1"/>
    <col min="9" max="9" width="12.81640625" style="3" customWidth="1"/>
    <col min="10" max="10" width="8.7265625" style="1" customWidth="1"/>
    <col min="11" max="11" width="19.90625" bestFit="1" customWidth="1"/>
    <col min="12" max="12" width="22.36328125" style="12" customWidth="1"/>
    <col min="13" max="13" width="14.453125" customWidth="1"/>
  </cols>
  <sheetData>
    <row r="1" spans="1:13" x14ac:dyDescent="0.35">
      <c r="A1" s="3" t="s">
        <v>0</v>
      </c>
      <c r="B1" s="3" t="s">
        <v>1</v>
      </c>
      <c r="C1" s="3" t="s">
        <v>2</v>
      </c>
      <c r="D1" s="9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t="s">
        <v>10</v>
      </c>
      <c r="L1" s="12" t="s">
        <v>11</v>
      </c>
      <c r="M1" s="2" t="s">
        <v>12</v>
      </c>
    </row>
    <row r="2" spans="1:13" x14ac:dyDescent="0.35">
      <c r="A2" s="3" t="s">
        <v>13</v>
      </c>
      <c r="B2" s="4">
        <v>0.1</v>
      </c>
      <c r="C2" s="8" t="s">
        <v>14</v>
      </c>
      <c r="D2" s="11">
        <v>1</v>
      </c>
      <c r="E2" s="7">
        <v>1</v>
      </c>
      <c r="F2" s="3">
        <v>1.3</v>
      </c>
      <c r="G2" s="3">
        <v>1.5</v>
      </c>
      <c r="H2" s="3">
        <v>2</v>
      </c>
      <c r="I2" s="3">
        <v>2.5</v>
      </c>
      <c r="J2" s="1">
        <v>1</v>
      </c>
      <c r="K2" t="s">
        <v>15</v>
      </c>
      <c r="L2" s="12">
        <v>1</v>
      </c>
      <c r="M2">
        <f>$L$3/$L$8</f>
        <v>1</v>
      </c>
    </row>
    <row r="3" spans="1:13" x14ac:dyDescent="0.35">
      <c r="B3" s="4">
        <v>0.05</v>
      </c>
      <c r="C3" s="8" t="s">
        <v>16</v>
      </c>
      <c r="D3" s="11">
        <v>0</v>
      </c>
      <c r="E3" s="7">
        <v>0</v>
      </c>
      <c r="F3" s="3">
        <v>100000</v>
      </c>
      <c r="G3" s="3">
        <v>500000</v>
      </c>
      <c r="H3" s="3">
        <v>1000000</v>
      </c>
      <c r="I3" s="3">
        <v>2000000</v>
      </c>
      <c r="J3" s="1">
        <v>1</v>
      </c>
      <c r="K3" t="s">
        <v>17</v>
      </c>
      <c r="L3" s="12">
        <v>1</v>
      </c>
      <c r="M3">
        <f>(VLOOKUP("Operational cash flow",$K$1:$L$45, 2, FALSE)-VLOOKUP("Capital expenditure",$K$1:$L$45, 2, FALSE) )</f>
        <v>0</v>
      </c>
    </row>
    <row r="4" spans="1:13" x14ac:dyDescent="0.35">
      <c r="B4" s="4">
        <v>2.5000000000000001E-2</v>
      </c>
      <c r="C4" s="8" t="s">
        <v>18</v>
      </c>
      <c r="D4" s="11">
        <v>0.09</v>
      </c>
      <c r="E4" s="7">
        <v>0.2</v>
      </c>
      <c r="F4" s="3">
        <v>0.15</v>
      </c>
      <c r="G4" s="3">
        <v>0.12</v>
      </c>
      <c r="H4" s="3">
        <v>0.09</v>
      </c>
      <c r="I4" s="3">
        <v>0.05</v>
      </c>
      <c r="J4" s="1">
        <v>4</v>
      </c>
      <c r="K4" t="s">
        <v>19</v>
      </c>
      <c r="L4" s="12">
        <v>1</v>
      </c>
      <c r="M4">
        <v>0.09</v>
      </c>
    </row>
    <row r="5" spans="1:13" x14ac:dyDescent="0.35">
      <c r="B5" s="4">
        <v>0.05</v>
      </c>
      <c r="C5" s="8" t="s">
        <v>20</v>
      </c>
      <c r="D5" s="11">
        <v>1</v>
      </c>
      <c r="E5" s="7">
        <v>0.1</v>
      </c>
      <c r="F5" s="3">
        <v>0.25</v>
      </c>
      <c r="G5" s="3">
        <v>0.35</v>
      </c>
      <c r="H5" s="3">
        <v>0.5</v>
      </c>
      <c r="I5" s="3">
        <v>0.7</v>
      </c>
      <c r="J5" s="1">
        <v>5</v>
      </c>
      <c r="K5" t="s">
        <v>21</v>
      </c>
      <c r="M5">
        <f>(VLOOKUP("Operating income",$K$1:$L$45, 2, FALSE)/(VLOOKUP("Total revenue",$K$1:$L$45, 2, FALSE)))</f>
        <v>1</v>
      </c>
    </row>
    <row r="6" spans="1:13" x14ac:dyDescent="0.35">
      <c r="B6" s="4">
        <v>2.5000000000000001E-2</v>
      </c>
      <c r="C6" s="8" t="s">
        <v>22</v>
      </c>
      <c r="D6" s="11">
        <v>1</v>
      </c>
      <c r="E6" s="7">
        <v>0.6</v>
      </c>
      <c r="F6" s="3">
        <v>0.55000000000000004</v>
      </c>
      <c r="G6" s="3">
        <v>0.5</v>
      </c>
      <c r="H6" s="3">
        <v>0.45</v>
      </c>
      <c r="I6" s="3">
        <v>0.4</v>
      </c>
      <c r="J6" s="1">
        <v>1</v>
      </c>
      <c r="K6" t="s">
        <v>23</v>
      </c>
      <c r="L6" s="12">
        <v>1</v>
      </c>
      <c r="M6">
        <f>(VLOOKUP("Total debt",$K$1:$L$45, 2, FALSE)/VLOOKUP("EBITDA",$K$1:$L$45, 2, FALSE))</f>
        <v>1</v>
      </c>
    </row>
    <row r="7" spans="1:13" x14ac:dyDescent="0.35">
      <c r="A7" s="3" t="s">
        <v>24</v>
      </c>
      <c r="B7" s="4">
        <v>0.06</v>
      </c>
      <c r="C7" s="8" t="s">
        <v>25</v>
      </c>
      <c r="D7" s="11">
        <v>1</v>
      </c>
      <c r="E7" s="7">
        <v>0.5</v>
      </c>
      <c r="F7" s="3">
        <v>1</v>
      </c>
      <c r="G7" s="3">
        <v>1.5</v>
      </c>
      <c r="H7" s="3">
        <v>2</v>
      </c>
      <c r="I7" s="3">
        <v>2.5</v>
      </c>
      <c r="J7" s="1">
        <v>2</v>
      </c>
      <c r="K7" t="s">
        <v>26</v>
      </c>
      <c r="L7" s="12">
        <v>1</v>
      </c>
      <c r="M7">
        <f>(VLOOKUP("Total current assets",$K$1:$L$45, 2, FALSE)/VLOOKUP("Total current liabilities",$K$1:$L$45, 2, FALSE))</f>
        <v>1</v>
      </c>
    </row>
    <row r="8" spans="1:13" x14ac:dyDescent="0.35">
      <c r="B8" s="4">
        <v>0.04</v>
      </c>
      <c r="C8" s="8" t="s">
        <v>27</v>
      </c>
      <c r="D8" s="11">
        <v>1</v>
      </c>
      <c r="E8" s="7">
        <v>3.5000000000000003E-2</v>
      </c>
      <c r="F8" s="3">
        <v>0.03</v>
      </c>
      <c r="G8" s="3">
        <v>0.02</v>
      </c>
      <c r="H8" s="3">
        <v>1.4999999999999999E-2</v>
      </c>
      <c r="I8" s="3">
        <v>0.01</v>
      </c>
      <c r="J8" s="1">
        <v>1</v>
      </c>
      <c r="K8" t="s">
        <v>28</v>
      </c>
      <c r="L8" s="12">
        <v>1</v>
      </c>
      <c r="M8">
        <f>(VLOOKUP("Total liabilities",$K$1:$L$45, 2, FALSE)/(VLOOKUP("Total equity",$K$1:$L$45, 2, FALSE)))</f>
        <v>1</v>
      </c>
    </row>
    <row r="9" spans="1:13" x14ac:dyDescent="0.35">
      <c r="B9" s="4">
        <v>0.02</v>
      </c>
      <c r="C9" s="3" t="s">
        <v>29</v>
      </c>
      <c r="D9" s="10">
        <v>1</v>
      </c>
      <c r="E9" s="3">
        <v>0.1</v>
      </c>
      <c r="F9" s="3">
        <v>0.2</v>
      </c>
      <c r="G9" s="3">
        <v>0.5</v>
      </c>
      <c r="H9" s="3">
        <v>0.6</v>
      </c>
      <c r="I9" s="3">
        <v>0.8</v>
      </c>
      <c r="J9" s="1">
        <v>5</v>
      </c>
      <c r="K9" t="s">
        <v>30</v>
      </c>
    </row>
    <row r="10" spans="1:13" x14ac:dyDescent="0.35">
      <c r="B10" s="4">
        <v>0.06</v>
      </c>
      <c r="C10" s="3" t="s">
        <v>31</v>
      </c>
      <c r="D10" s="3">
        <v>0</v>
      </c>
      <c r="E10" s="3">
        <v>0</v>
      </c>
      <c r="F10" s="3">
        <v>0.05</v>
      </c>
      <c r="G10" s="3">
        <v>0.1</v>
      </c>
      <c r="H10" s="3">
        <v>0.15</v>
      </c>
      <c r="I10" s="3">
        <v>0.2</v>
      </c>
      <c r="J10" s="1">
        <v>1</v>
      </c>
      <c r="K10" t="s">
        <v>32</v>
      </c>
      <c r="L10" s="12">
        <v>1</v>
      </c>
    </row>
    <row r="11" spans="1:13" x14ac:dyDescent="0.35">
      <c r="B11" s="4">
        <v>0.02</v>
      </c>
      <c r="C11" s="3" t="s">
        <v>33</v>
      </c>
      <c r="D11" s="3">
        <v>5</v>
      </c>
      <c r="E11" s="3">
        <v>1</v>
      </c>
      <c r="F11" s="3">
        <v>2</v>
      </c>
      <c r="G11" s="3">
        <v>3</v>
      </c>
      <c r="H11" s="3">
        <v>4</v>
      </c>
      <c r="I11" s="3">
        <v>5</v>
      </c>
      <c r="J11" s="1">
        <v>5</v>
      </c>
      <c r="K11" t="s">
        <v>34</v>
      </c>
      <c r="L11" s="12">
        <v>1</v>
      </c>
    </row>
    <row r="12" spans="1:13" x14ac:dyDescent="0.35">
      <c r="A12" s="3" t="s">
        <v>35</v>
      </c>
      <c r="B12" s="4">
        <v>0.05</v>
      </c>
      <c r="C12" s="3" t="s">
        <v>36</v>
      </c>
      <c r="D12" s="3">
        <v>5</v>
      </c>
      <c r="E12" s="3">
        <v>1</v>
      </c>
      <c r="F12" s="3">
        <v>2</v>
      </c>
      <c r="G12" s="3">
        <v>3</v>
      </c>
      <c r="H12" s="3">
        <v>4</v>
      </c>
      <c r="I12" s="3">
        <v>5</v>
      </c>
      <c r="J12" s="1">
        <v>5</v>
      </c>
      <c r="K12" t="s">
        <v>37</v>
      </c>
      <c r="L12" s="12">
        <v>1</v>
      </c>
    </row>
    <row r="13" spans="1:13" x14ac:dyDescent="0.35">
      <c r="B13" s="4">
        <v>0.03</v>
      </c>
      <c r="C13" s="3" t="s">
        <v>38</v>
      </c>
      <c r="D13" s="3">
        <v>1</v>
      </c>
      <c r="E13" s="3">
        <v>1</v>
      </c>
      <c r="F13" s="3">
        <v>2</v>
      </c>
      <c r="G13" s="3">
        <v>3</v>
      </c>
      <c r="H13" s="3">
        <v>4</v>
      </c>
      <c r="I13" s="3">
        <v>5</v>
      </c>
      <c r="J13" s="1">
        <v>1</v>
      </c>
      <c r="K13" t="s">
        <v>39</v>
      </c>
      <c r="L13" s="12">
        <v>1</v>
      </c>
    </row>
    <row r="14" spans="1:13" x14ac:dyDescent="0.35">
      <c r="B14" s="4">
        <v>0.02</v>
      </c>
      <c r="C14" s="3" t="s">
        <v>40</v>
      </c>
      <c r="D14" s="3">
        <v>5</v>
      </c>
      <c r="E14" s="3">
        <v>1</v>
      </c>
      <c r="F14" s="3">
        <v>2</v>
      </c>
      <c r="G14" s="3">
        <v>3</v>
      </c>
      <c r="H14" s="3">
        <v>4</v>
      </c>
      <c r="I14" s="3">
        <v>5</v>
      </c>
      <c r="J14" s="1">
        <v>5</v>
      </c>
      <c r="K14" t="s">
        <v>41</v>
      </c>
      <c r="L14" s="12">
        <v>1</v>
      </c>
    </row>
    <row r="15" spans="1:13" x14ac:dyDescent="0.35">
      <c r="B15" s="4">
        <v>0.03</v>
      </c>
      <c r="C15" s="3" t="s">
        <v>42</v>
      </c>
      <c r="D15" s="3">
        <v>5</v>
      </c>
      <c r="E15" s="3">
        <v>1</v>
      </c>
      <c r="F15" s="3">
        <v>2</v>
      </c>
      <c r="G15" s="3">
        <v>3</v>
      </c>
      <c r="H15" s="3">
        <v>4</v>
      </c>
      <c r="I15" s="3">
        <v>5</v>
      </c>
      <c r="J15" s="1">
        <v>5</v>
      </c>
      <c r="K15" t="s">
        <v>43</v>
      </c>
      <c r="L15" s="12">
        <v>1</v>
      </c>
    </row>
    <row r="16" spans="1:13" x14ac:dyDescent="0.35">
      <c r="B16" s="4">
        <v>0.02</v>
      </c>
      <c r="C16" s="3" t="s">
        <v>44</v>
      </c>
      <c r="D16" s="3">
        <v>5</v>
      </c>
      <c r="E16" s="3">
        <v>1</v>
      </c>
      <c r="F16" s="3">
        <v>2</v>
      </c>
      <c r="G16" s="3">
        <v>3</v>
      </c>
      <c r="H16" s="3">
        <v>4</v>
      </c>
      <c r="I16" s="3">
        <v>5</v>
      </c>
      <c r="J16" s="1">
        <v>5</v>
      </c>
    </row>
    <row r="17" spans="1:10" x14ac:dyDescent="0.35">
      <c r="A17" s="3" t="s">
        <v>45</v>
      </c>
      <c r="B17" s="4">
        <v>0.02</v>
      </c>
      <c r="C17" s="3" t="s">
        <v>46</v>
      </c>
      <c r="D17" s="3">
        <v>5</v>
      </c>
      <c r="E17" s="3">
        <v>1</v>
      </c>
      <c r="F17" s="3">
        <v>2</v>
      </c>
      <c r="G17" s="3">
        <v>3</v>
      </c>
      <c r="H17" s="3">
        <v>4</v>
      </c>
      <c r="I17" s="3">
        <v>5</v>
      </c>
      <c r="J17" s="1">
        <v>5</v>
      </c>
    </row>
    <row r="18" spans="1:10" x14ac:dyDescent="0.35">
      <c r="B18" s="4">
        <v>0.04</v>
      </c>
      <c r="C18" s="3" t="s">
        <v>47</v>
      </c>
      <c r="D18" s="3">
        <v>5</v>
      </c>
      <c r="E18" s="3">
        <v>1</v>
      </c>
      <c r="F18" s="3">
        <v>2</v>
      </c>
      <c r="G18" s="3">
        <v>3</v>
      </c>
      <c r="H18" s="3">
        <v>4</v>
      </c>
      <c r="I18" s="3">
        <v>5</v>
      </c>
      <c r="J18" s="1">
        <v>5</v>
      </c>
    </row>
    <row r="19" spans="1:10" x14ac:dyDescent="0.35">
      <c r="B19" s="4">
        <v>0.08</v>
      </c>
      <c r="C19" s="3" t="s">
        <v>48</v>
      </c>
      <c r="D19" s="3">
        <v>5</v>
      </c>
      <c r="E19" s="3">
        <v>1</v>
      </c>
      <c r="F19" s="3">
        <v>2</v>
      </c>
      <c r="G19" s="3">
        <v>3</v>
      </c>
      <c r="H19" s="3">
        <v>4</v>
      </c>
      <c r="I19" s="3">
        <v>5</v>
      </c>
      <c r="J19" s="1">
        <v>5</v>
      </c>
    </row>
    <row r="20" spans="1:10" x14ac:dyDescent="0.35">
      <c r="B20" s="4">
        <v>0.04</v>
      </c>
      <c r="C20" s="3" t="s">
        <v>49</v>
      </c>
      <c r="D20" s="3">
        <v>5</v>
      </c>
      <c r="E20" s="3">
        <v>1</v>
      </c>
      <c r="F20" s="3">
        <v>2</v>
      </c>
      <c r="G20" s="3">
        <v>3</v>
      </c>
      <c r="H20" s="3">
        <v>4</v>
      </c>
      <c r="I20" s="3">
        <v>5</v>
      </c>
      <c r="J20" s="1">
        <v>5</v>
      </c>
    </row>
    <row r="21" spans="1:10" x14ac:dyDescent="0.35">
      <c r="B21" s="4">
        <v>0.02</v>
      </c>
      <c r="C21" s="3" t="s">
        <v>50</v>
      </c>
      <c r="D21" s="3">
        <v>5</v>
      </c>
      <c r="E21" s="3">
        <v>1</v>
      </c>
      <c r="F21" s="3">
        <v>2</v>
      </c>
      <c r="G21" s="3">
        <v>3</v>
      </c>
      <c r="H21" s="3">
        <v>4</v>
      </c>
      <c r="I21" s="3">
        <v>5</v>
      </c>
      <c r="J21" s="1">
        <v>5</v>
      </c>
    </row>
    <row r="22" spans="1:10" x14ac:dyDescent="0.35">
      <c r="A22" s="3" t="s">
        <v>51</v>
      </c>
      <c r="B22" s="4">
        <v>0.03</v>
      </c>
      <c r="C22" s="3" t="s">
        <v>52</v>
      </c>
      <c r="D22" s="3">
        <v>5</v>
      </c>
      <c r="E22" s="3">
        <v>1</v>
      </c>
      <c r="F22" s="3">
        <v>2</v>
      </c>
      <c r="G22" s="3">
        <v>3</v>
      </c>
      <c r="H22" s="3">
        <v>4</v>
      </c>
      <c r="I22" s="3">
        <v>5</v>
      </c>
      <c r="J22" s="1">
        <v>5</v>
      </c>
    </row>
    <row r="23" spans="1:10" x14ac:dyDescent="0.35">
      <c r="B23" s="4">
        <v>0.03</v>
      </c>
      <c r="C23" s="3" t="s">
        <v>53</v>
      </c>
      <c r="D23" s="3">
        <v>5</v>
      </c>
      <c r="E23" s="3">
        <v>1</v>
      </c>
      <c r="F23" s="3">
        <v>2</v>
      </c>
      <c r="G23" s="3">
        <v>3</v>
      </c>
      <c r="H23" s="3">
        <v>4</v>
      </c>
      <c r="I23" s="3">
        <v>5</v>
      </c>
      <c r="J23" s="1">
        <v>5</v>
      </c>
    </row>
    <row r="24" spans="1:10" x14ac:dyDescent="0.35">
      <c r="B24" s="4">
        <v>0.02</v>
      </c>
      <c r="C24" s="3" t="s">
        <v>54</v>
      </c>
      <c r="D24" s="3">
        <v>1</v>
      </c>
      <c r="E24" s="3">
        <v>1</v>
      </c>
      <c r="F24" s="3">
        <v>2</v>
      </c>
      <c r="G24" s="3">
        <v>3</v>
      </c>
      <c r="H24" s="3">
        <v>4</v>
      </c>
      <c r="I24" s="3">
        <v>5</v>
      </c>
      <c r="J24" s="1">
        <v>1</v>
      </c>
    </row>
    <row r="25" spans="1:10" x14ac:dyDescent="0.35">
      <c r="B25" s="4">
        <v>0.01</v>
      </c>
      <c r="C25" s="3" t="s">
        <v>55</v>
      </c>
      <c r="D25" s="3">
        <v>5</v>
      </c>
      <c r="E25" s="3">
        <v>1</v>
      </c>
      <c r="F25" s="3">
        <v>2</v>
      </c>
      <c r="G25" s="3">
        <v>3</v>
      </c>
      <c r="H25" s="3">
        <v>4</v>
      </c>
      <c r="I25" s="3">
        <v>5</v>
      </c>
      <c r="J25" s="1">
        <v>5</v>
      </c>
    </row>
    <row r="26" spans="1:10" x14ac:dyDescent="0.35">
      <c r="B26" s="4">
        <v>0.01</v>
      </c>
      <c r="C26" s="3" t="s">
        <v>56</v>
      </c>
      <c r="D26" s="3">
        <v>5</v>
      </c>
      <c r="E26" s="3">
        <v>1</v>
      </c>
      <c r="F26" s="3">
        <v>2</v>
      </c>
      <c r="G26" s="3">
        <v>3</v>
      </c>
      <c r="H26" s="3">
        <v>4</v>
      </c>
      <c r="I26" s="3">
        <v>5</v>
      </c>
      <c r="J26" s="1">
        <v>5</v>
      </c>
    </row>
    <row r="27" spans="1:10" x14ac:dyDescent="0.35">
      <c r="A27" s="3" t="s">
        <v>57</v>
      </c>
      <c r="B27" s="4">
        <v>0.04</v>
      </c>
      <c r="C27" s="3" t="s">
        <v>58</v>
      </c>
      <c r="D27" s="3">
        <v>3</v>
      </c>
      <c r="E27" s="3">
        <v>1</v>
      </c>
      <c r="F27" s="3">
        <v>2</v>
      </c>
      <c r="G27" s="3">
        <v>3</v>
      </c>
      <c r="H27" s="3">
        <v>4</v>
      </c>
      <c r="I27" s="3">
        <v>5</v>
      </c>
      <c r="J27" s="1">
        <v>3</v>
      </c>
    </row>
    <row r="28" spans="1:10" x14ac:dyDescent="0.35">
      <c r="B28" s="4">
        <v>0.01</v>
      </c>
      <c r="C28" s="3" t="s">
        <v>59</v>
      </c>
      <c r="D28" s="3">
        <v>5</v>
      </c>
      <c r="E28" s="3">
        <v>1</v>
      </c>
      <c r="F28" s="3">
        <v>2</v>
      </c>
      <c r="G28" s="3">
        <v>3</v>
      </c>
      <c r="H28" s="3">
        <v>4</v>
      </c>
      <c r="I28" s="3">
        <v>5</v>
      </c>
      <c r="J28" s="1">
        <v>5</v>
      </c>
    </row>
    <row r="29" spans="1:10" x14ac:dyDescent="0.35">
      <c r="B29" s="4">
        <v>0.02</v>
      </c>
      <c r="C29" s="3" t="s">
        <v>60</v>
      </c>
      <c r="D29" s="3">
        <v>5</v>
      </c>
      <c r="E29" s="3">
        <v>1</v>
      </c>
      <c r="F29" s="3">
        <v>2</v>
      </c>
      <c r="G29" s="3">
        <v>3</v>
      </c>
      <c r="H29" s="3">
        <v>4</v>
      </c>
      <c r="I29" s="3">
        <v>5</v>
      </c>
      <c r="J29" s="1">
        <v>5</v>
      </c>
    </row>
    <row r="30" spans="1:10" x14ac:dyDescent="0.35">
      <c r="B30" s="4">
        <v>0.02</v>
      </c>
      <c r="C30" s="3" t="s">
        <v>61</v>
      </c>
      <c r="D30" s="3">
        <v>5</v>
      </c>
      <c r="E30" s="3">
        <v>1</v>
      </c>
      <c r="F30" s="3">
        <v>2</v>
      </c>
      <c r="G30" s="3">
        <v>3</v>
      </c>
      <c r="H30" s="3">
        <v>4</v>
      </c>
      <c r="I30" s="3">
        <v>5</v>
      </c>
      <c r="J30" s="1">
        <v>5</v>
      </c>
    </row>
    <row r="31" spans="1:10" x14ac:dyDescent="0.35">
      <c r="B31" s="4">
        <v>0.01</v>
      </c>
      <c r="C31" s="5" t="s">
        <v>62</v>
      </c>
      <c r="D31" s="3">
        <v>5</v>
      </c>
      <c r="E31" s="3">
        <v>1</v>
      </c>
      <c r="F31" s="3">
        <v>2</v>
      </c>
      <c r="G31" s="3">
        <v>3</v>
      </c>
      <c r="H31" s="3">
        <v>4</v>
      </c>
      <c r="I31" s="3">
        <v>5</v>
      </c>
      <c r="J31" s="1">
        <v>5</v>
      </c>
    </row>
    <row r="32" spans="1:10" x14ac:dyDescent="0.35">
      <c r="C32" s="6"/>
      <c r="D32" s="3"/>
    </row>
    <row r="33" spans="2:10" x14ac:dyDescent="0.35">
      <c r="B33" s="13"/>
      <c r="C33" s="14" t="s">
        <v>63</v>
      </c>
      <c r="D33" s="3"/>
      <c r="J33" s="15">
        <v>3.415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ulasToValues">
                <anchor moveWithCells="1" sizeWithCells="1">
                  <from>
                    <xdr:col>10</xdr:col>
                    <xdr:colOff>57150</xdr:colOff>
                    <xdr:row>17</xdr:row>
                    <xdr:rowOff>19050</xdr:rowOff>
                  </from>
                  <to>
                    <xdr:col>10</xdr:col>
                    <xdr:colOff>1346200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tabSelected="1" zoomScale="60" zoomScaleNormal="85" workbookViewId="0">
      <selection activeCell="K26" sqref="K26"/>
    </sheetView>
  </sheetViews>
  <sheetFormatPr defaultRowHeight="14.5" x14ac:dyDescent="0.35"/>
  <cols>
    <col min="1" max="1" width="17.453125" style="3" customWidth="1"/>
    <col min="2" max="2" width="8.7265625" style="3" customWidth="1"/>
    <col min="3" max="3" width="38.08984375" style="3" bestFit="1" customWidth="1"/>
    <col min="4" max="4" width="8.7265625" style="7" customWidth="1"/>
    <col min="5" max="5" width="15" style="3" customWidth="1"/>
    <col min="6" max="6" width="10.90625" style="3" customWidth="1"/>
    <col min="7" max="8" width="8.7265625" style="3" customWidth="1"/>
    <col min="9" max="9" width="12.81640625" style="3" customWidth="1"/>
    <col min="10" max="10" width="8.7265625" style="1" customWidth="1"/>
    <col min="11" max="11" width="19.90625" bestFit="1" customWidth="1"/>
    <col min="12" max="12" width="22.36328125" style="12" customWidth="1"/>
    <col min="13" max="13" width="14.453125" customWidth="1"/>
  </cols>
  <sheetData>
    <row r="1" spans="1:13" x14ac:dyDescent="0.35">
      <c r="A1" s="3" t="s">
        <v>0</v>
      </c>
      <c r="B1" s="3" t="s">
        <v>1</v>
      </c>
      <c r="C1" s="3" t="s">
        <v>2</v>
      </c>
      <c r="D1" s="9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t="s">
        <v>10</v>
      </c>
      <c r="L1" s="12" t="s">
        <v>11</v>
      </c>
      <c r="M1" s="2" t="s">
        <v>12</v>
      </c>
    </row>
    <row r="2" spans="1:13" x14ac:dyDescent="0.35">
      <c r="A2" s="3" t="s">
        <v>13</v>
      </c>
      <c r="B2" s="4">
        <v>0.08</v>
      </c>
      <c r="C2" s="8" t="s">
        <v>14</v>
      </c>
      <c r="D2" s="11">
        <v>1</v>
      </c>
      <c r="E2" s="7">
        <v>1</v>
      </c>
      <c r="F2" s="3">
        <v>1.3</v>
      </c>
      <c r="G2" s="3">
        <v>1.5</v>
      </c>
      <c r="H2" s="3">
        <v>2</v>
      </c>
      <c r="I2" s="3">
        <v>2.5</v>
      </c>
      <c r="J2" s="1">
        <v>1</v>
      </c>
      <c r="K2" t="s">
        <v>15</v>
      </c>
      <c r="L2" s="12">
        <v>1</v>
      </c>
      <c r="M2">
        <f>$L$3/$L$8</f>
        <v>1</v>
      </c>
    </row>
    <row r="3" spans="1:13" x14ac:dyDescent="0.35">
      <c r="B3" s="4">
        <v>0.06</v>
      </c>
      <c r="C3" s="8" t="s">
        <v>16</v>
      </c>
      <c r="D3" s="11">
        <v>0</v>
      </c>
      <c r="E3" s="7">
        <v>0</v>
      </c>
      <c r="F3" s="3">
        <v>100000</v>
      </c>
      <c r="G3" s="3">
        <v>500000</v>
      </c>
      <c r="H3" s="3">
        <v>1000000</v>
      </c>
      <c r="I3" s="3">
        <v>2000000</v>
      </c>
      <c r="J3" s="1">
        <v>1</v>
      </c>
      <c r="K3" t="s">
        <v>17</v>
      </c>
      <c r="L3" s="12">
        <v>1</v>
      </c>
      <c r="M3">
        <f>(VLOOKUP("Operational cash flow",$K$1:$L$45, 2, FALSE)-VLOOKUP("Capital expenditure",$K$1:$L$45, 2, FALSE) )</f>
        <v>0</v>
      </c>
    </row>
    <row r="4" spans="1:13" x14ac:dyDescent="0.35">
      <c r="B4" s="4">
        <v>2.5000000000000001E-2</v>
      </c>
      <c r="C4" s="8" t="s">
        <v>18</v>
      </c>
      <c r="D4" s="11">
        <v>0.09</v>
      </c>
      <c r="E4" s="7">
        <v>0.2</v>
      </c>
      <c r="F4" s="3">
        <v>0.15</v>
      </c>
      <c r="G4" s="3">
        <v>0.12</v>
      </c>
      <c r="H4" s="3">
        <v>0.09</v>
      </c>
      <c r="I4" s="3">
        <v>0.05</v>
      </c>
      <c r="J4" s="1">
        <v>4</v>
      </c>
      <c r="K4" t="s">
        <v>19</v>
      </c>
      <c r="L4" s="12">
        <v>1</v>
      </c>
      <c r="M4">
        <v>0.09</v>
      </c>
    </row>
    <row r="5" spans="1:13" x14ac:dyDescent="0.35">
      <c r="B5" s="4">
        <v>0.05</v>
      </c>
      <c r="C5" s="8" t="s">
        <v>20</v>
      </c>
      <c r="D5" s="11">
        <v>1</v>
      </c>
      <c r="E5" s="7">
        <v>0.1</v>
      </c>
      <c r="F5" s="3">
        <v>0.25</v>
      </c>
      <c r="G5" s="3">
        <v>0.35</v>
      </c>
      <c r="H5" s="3">
        <v>0.5</v>
      </c>
      <c r="I5" s="3">
        <v>0.7</v>
      </c>
      <c r="J5" s="1">
        <v>5</v>
      </c>
      <c r="K5" t="s">
        <v>21</v>
      </c>
      <c r="M5">
        <f>(VLOOKUP("Operating income",$K$1:$L$45, 2, FALSE)/(VLOOKUP("Total revenue",$K$1:$L$45, 2, FALSE)))</f>
        <v>1</v>
      </c>
    </row>
    <row r="6" spans="1:13" x14ac:dyDescent="0.35">
      <c r="B6" s="4">
        <v>0.04</v>
      </c>
      <c r="C6" s="8" t="s">
        <v>22</v>
      </c>
      <c r="D6" s="11">
        <v>1</v>
      </c>
      <c r="E6" s="7">
        <v>0.6</v>
      </c>
      <c r="F6" s="3">
        <v>0.55000000000000004</v>
      </c>
      <c r="G6" s="3">
        <v>0.5</v>
      </c>
      <c r="H6" s="3">
        <v>0.45</v>
      </c>
      <c r="I6" s="3">
        <v>0.4</v>
      </c>
      <c r="J6" s="1">
        <v>1</v>
      </c>
      <c r="K6" t="s">
        <v>23</v>
      </c>
      <c r="L6" s="12">
        <v>1</v>
      </c>
      <c r="M6">
        <f>(VLOOKUP("Total debt",$K$1:$L$45, 2, FALSE)/VLOOKUP("EBITDA",$K$1:$L$45, 2, FALSE))</f>
        <v>1</v>
      </c>
    </row>
    <row r="7" spans="1:13" x14ac:dyDescent="0.35">
      <c r="A7" s="3" t="s">
        <v>24</v>
      </c>
      <c r="B7" s="4">
        <v>7.0000000000000007E-2</v>
      </c>
      <c r="C7" s="8" t="s">
        <v>25</v>
      </c>
      <c r="D7" s="11">
        <v>1</v>
      </c>
      <c r="E7" s="7">
        <v>0.5</v>
      </c>
      <c r="F7" s="3">
        <v>1</v>
      </c>
      <c r="G7" s="3">
        <v>1.5</v>
      </c>
      <c r="H7" s="3">
        <v>2</v>
      </c>
      <c r="I7" s="3">
        <v>2.5</v>
      </c>
      <c r="J7" s="1">
        <v>2</v>
      </c>
      <c r="K7" t="s">
        <v>26</v>
      </c>
      <c r="L7" s="12">
        <v>1</v>
      </c>
      <c r="M7">
        <f>(VLOOKUP("Total current assets",$K$1:$L$45, 2, FALSE)/VLOOKUP("Total current liabilities",$K$1:$L$45, 2, FALSE))</f>
        <v>1</v>
      </c>
    </row>
    <row r="8" spans="1:13" x14ac:dyDescent="0.35">
      <c r="B8" s="4">
        <v>0.04</v>
      </c>
      <c r="C8" s="8" t="s">
        <v>27</v>
      </c>
      <c r="D8" s="11">
        <v>1</v>
      </c>
      <c r="E8" s="7">
        <v>3.5000000000000003E-2</v>
      </c>
      <c r="F8" s="3">
        <v>0.03</v>
      </c>
      <c r="G8" s="3">
        <v>0.02</v>
      </c>
      <c r="H8" s="3">
        <v>1.4999999999999999E-2</v>
      </c>
      <c r="I8" s="3">
        <v>0.01</v>
      </c>
      <c r="J8" s="1">
        <v>1</v>
      </c>
      <c r="K8" t="s">
        <v>28</v>
      </c>
      <c r="L8" s="12">
        <v>1</v>
      </c>
      <c r="M8">
        <f>(VLOOKUP("Total liabilities",$K$1:$L$45, 2, FALSE)/(VLOOKUP("Total equity",$K$1:$L$45, 2, FALSE)))</f>
        <v>1</v>
      </c>
    </row>
    <row r="9" spans="1:13" x14ac:dyDescent="0.35">
      <c r="B9" s="4">
        <v>0.01</v>
      </c>
      <c r="C9" s="3" t="s">
        <v>29</v>
      </c>
      <c r="D9" s="10">
        <v>1</v>
      </c>
      <c r="E9" s="3">
        <v>0.1</v>
      </c>
      <c r="F9" s="3">
        <v>0.2</v>
      </c>
      <c r="G9" s="3">
        <v>0.5</v>
      </c>
      <c r="H9" s="3">
        <v>0.6</v>
      </c>
      <c r="I9" s="3">
        <v>0.8</v>
      </c>
      <c r="J9" s="1">
        <v>5</v>
      </c>
      <c r="K9" t="s">
        <v>30</v>
      </c>
    </row>
    <row r="10" spans="1:13" x14ac:dyDescent="0.35">
      <c r="B10" s="4">
        <v>0.06</v>
      </c>
      <c r="C10" s="3" t="s">
        <v>31</v>
      </c>
      <c r="D10" s="3">
        <v>0</v>
      </c>
      <c r="E10" s="3">
        <v>0</v>
      </c>
      <c r="F10" s="3">
        <v>0.05</v>
      </c>
      <c r="G10" s="3">
        <v>0.1</v>
      </c>
      <c r="H10" s="3">
        <v>0.15</v>
      </c>
      <c r="I10" s="3">
        <v>0.2</v>
      </c>
      <c r="J10" s="1">
        <v>1</v>
      </c>
      <c r="K10" t="s">
        <v>32</v>
      </c>
      <c r="L10" s="12">
        <v>1</v>
      </c>
    </row>
    <row r="11" spans="1:13" x14ac:dyDescent="0.35">
      <c r="B11" s="4">
        <v>0.02</v>
      </c>
      <c r="C11" s="3" t="s">
        <v>33</v>
      </c>
      <c r="D11" s="3">
        <v>5</v>
      </c>
      <c r="E11" s="3">
        <v>1</v>
      </c>
      <c r="F11" s="3">
        <v>2</v>
      </c>
      <c r="G11" s="3">
        <v>3</v>
      </c>
      <c r="H11" s="3">
        <v>4</v>
      </c>
      <c r="I11" s="3">
        <v>5</v>
      </c>
      <c r="J11" s="1">
        <v>5</v>
      </c>
      <c r="K11" t="s">
        <v>34</v>
      </c>
      <c r="L11" s="12">
        <v>1</v>
      </c>
    </row>
    <row r="12" spans="1:13" x14ac:dyDescent="0.35">
      <c r="A12" s="3" t="s">
        <v>35</v>
      </c>
      <c r="B12" s="4">
        <v>0.05</v>
      </c>
      <c r="C12" s="3" t="s">
        <v>36</v>
      </c>
      <c r="D12" s="3">
        <v>5</v>
      </c>
      <c r="E12" s="3">
        <v>1</v>
      </c>
      <c r="F12" s="3">
        <v>2</v>
      </c>
      <c r="G12" s="3">
        <v>3</v>
      </c>
      <c r="H12" s="3">
        <v>4</v>
      </c>
      <c r="I12" s="3">
        <v>5</v>
      </c>
      <c r="J12" s="1">
        <v>5</v>
      </c>
      <c r="K12" t="s">
        <v>37</v>
      </c>
      <c r="L12" s="12">
        <v>1</v>
      </c>
    </row>
    <row r="13" spans="1:13" x14ac:dyDescent="0.35">
      <c r="B13" s="4">
        <v>0.03</v>
      </c>
      <c r="C13" s="3" t="s">
        <v>38</v>
      </c>
      <c r="D13" s="3">
        <v>1</v>
      </c>
      <c r="E13" s="3">
        <v>1</v>
      </c>
      <c r="F13" s="3">
        <v>2</v>
      </c>
      <c r="G13" s="3">
        <v>3</v>
      </c>
      <c r="H13" s="3">
        <v>4</v>
      </c>
      <c r="I13" s="3">
        <v>5</v>
      </c>
      <c r="J13" s="1">
        <v>1</v>
      </c>
      <c r="K13" t="s">
        <v>39</v>
      </c>
      <c r="L13" s="12">
        <v>1</v>
      </c>
    </row>
    <row r="14" spans="1:13" x14ac:dyDescent="0.35">
      <c r="B14" s="4">
        <v>0.02</v>
      </c>
      <c r="C14" s="3" t="s">
        <v>40</v>
      </c>
      <c r="D14" s="3">
        <v>5</v>
      </c>
      <c r="E14" s="3">
        <v>1</v>
      </c>
      <c r="F14" s="3">
        <v>2</v>
      </c>
      <c r="G14" s="3">
        <v>3</v>
      </c>
      <c r="H14" s="3">
        <v>4</v>
      </c>
      <c r="I14" s="3">
        <v>5</v>
      </c>
      <c r="J14" s="1">
        <v>5</v>
      </c>
      <c r="K14" t="s">
        <v>41</v>
      </c>
      <c r="L14" s="12">
        <v>1</v>
      </c>
    </row>
    <row r="15" spans="1:13" x14ac:dyDescent="0.35">
      <c r="B15" s="4">
        <v>0.03</v>
      </c>
      <c r="C15" s="3" t="s">
        <v>42</v>
      </c>
      <c r="D15" s="3">
        <v>5</v>
      </c>
      <c r="E15" s="3">
        <v>1</v>
      </c>
      <c r="F15" s="3">
        <v>2</v>
      </c>
      <c r="G15" s="3">
        <v>3</v>
      </c>
      <c r="H15" s="3">
        <v>4</v>
      </c>
      <c r="I15" s="3">
        <v>5</v>
      </c>
      <c r="J15" s="1">
        <v>5</v>
      </c>
      <c r="K15" t="s">
        <v>43</v>
      </c>
      <c r="L15" s="12">
        <v>1</v>
      </c>
    </row>
    <row r="16" spans="1:13" x14ac:dyDescent="0.35">
      <c r="B16" s="4">
        <v>0.02</v>
      </c>
      <c r="C16" s="3" t="s">
        <v>44</v>
      </c>
      <c r="D16" s="3">
        <v>5</v>
      </c>
      <c r="E16" s="3">
        <v>1</v>
      </c>
      <c r="F16" s="3">
        <v>2</v>
      </c>
      <c r="G16" s="3">
        <v>3</v>
      </c>
      <c r="H16" s="3">
        <v>4</v>
      </c>
      <c r="I16" s="3">
        <v>5</v>
      </c>
      <c r="J16" s="1">
        <v>5</v>
      </c>
    </row>
    <row r="17" spans="1:10" x14ac:dyDescent="0.35">
      <c r="A17" s="3" t="s">
        <v>45</v>
      </c>
      <c r="B17" s="4">
        <v>0.02</v>
      </c>
      <c r="C17" s="3" t="s">
        <v>46</v>
      </c>
      <c r="D17" s="3">
        <v>5</v>
      </c>
      <c r="E17" s="3">
        <v>1</v>
      </c>
      <c r="F17" s="3">
        <v>2</v>
      </c>
      <c r="G17" s="3">
        <v>3</v>
      </c>
      <c r="H17" s="3">
        <v>4</v>
      </c>
      <c r="I17" s="3">
        <v>5</v>
      </c>
      <c r="J17" s="1">
        <v>5</v>
      </c>
    </row>
    <row r="18" spans="1:10" x14ac:dyDescent="0.35">
      <c r="B18" s="4">
        <v>0.04</v>
      </c>
      <c r="C18" s="3" t="s">
        <v>47</v>
      </c>
      <c r="D18" s="3">
        <v>5</v>
      </c>
      <c r="E18" s="3">
        <v>1</v>
      </c>
      <c r="F18" s="3">
        <v>2</v>
      </c>
      <c r="G18" s="3">
        <v>3</v>
      </c>
      <c r="H18" s="3">
        <v>4</v>
      </c>
      <c r="I18" s="3">
        <v>5</v>
      </c>
      <c r="J18" s="1">
        <v>5</v>
      </c>
    </row>
    <row r="19" spans="1:10" x14ac:dyDescent="0.35">
      <c r="B19" s="4">
        <v>7.0000000000000007E-2</v>
      </c>
      <c r="C19" s="3" t="s">
        <v>48</v>
      </c>
      <c r="D19" s="3">
        <v>5</v>
      </c>
      <c r="E19" s="3">
        <v>1</v>
      </c>
      <c r="F19" s="3">
        <v>2</v>
      </c>
      <c r="G19" s="3">
        <v>3</v>
      </c>
      <c r="H19" s="3">
        <v>4</v>
      </c>
      <c r="I19" s="3">
        <v>5</v>
      </c>
      <c r="J19" s="1">
        <v>5</v>
      </c>
    </row>
    <row r="20" spans="1:10" x14ac:dyDescent="0.35">
      <c r="B20" s="4">
        <v>0.04</v>
      </c>
      <c r="C20" s="3" t="s">
        <v>49</v>
      </c>
      <c r="D20" s="3">
        <v>5</v>
      </c>
      <c r="E20" s="3">
        <v>1</v>
      </c>
      <c r="F20" s="3">
        <v>2</v>
      </c>
      <c r="G20" s="3">
        <v>3</v>
      </c>
      <c r="H20" s="3">
        <v>4</v>
      </c>
      <c r="I20" s="3">
        <v>5</v>
      </c>
      <c r="J20" s="1">
        <v>5</v>
      </c>
    </row>
    <row r="21" spans="1:10" x14ac:dyDescent="0.35">
      <c r="B21" s="4">
        <v>0.02</v>
      </c>
      <c r="C21" s="3" t="s">
        <v>50</v>
      </c>
      <c r="D21" s="3">
        <v>5</v>
      </c>
      <c r="E21" s="3">
        <v>1</v>
      </c>
      <c r="F21" s="3">
        <v>2</v>
      </c>
      <c r="G21" s="3">
        <v>3</v>
      </c>
      <c r="H21" s="3">
        <v>4</v>
      </c>
      <c r="I21" s="3">
        <v>5</v>
      </c>
      <c r="J21" s="1">
        <v>5</v>
      </c>
    </row>
    <row r="22" spans="1:10" x14ac:dyDescent="0.35">
      <c r="A22" s="3" t="s">
        <v>51</v>
      </c>
      <c r="B22" s="4">
        <v>0.03</v>
      </c>
      <c r="C22" s="3" t="s">
        <v>52</v>
      </c>
      <c r="D22" s="3">
        <v>5</v>
      </c>
      <c r="E22" s="3">
        <v>1</v>
      </c>
      <c r="F22" s="3">
        <v>2</v>
      </c>
      <c r="G22" s="3">
        <v>3</v>
      </c>
      <c r="H22" s="3">
        <v>4</v>
      </c>
      <c r="I22" s="3">
        <v>5</v>
      </c>
      <c r="J22" s="1">
        <v>5</v>
      </c>
    </row>
    <row r="23" spans="1:10" x14ac:dyDescent="0.35">
      <c r="B23" s="4">
        <v>0.03</v>
      </c>
      <c r="C23" s="3" t="s">
        <v>53</v>
      </c>
      <c r="D23" s="3">
        <v>5</v>
      </c>
      <c r="E23" s="3">
        <v>1</v>
      </c>
      <c r="F23" s="3">
        <v>2</v>
      </c>
      <c r="G23" s="3">
        <v>3</v>
      </c>
      <c r="H23" s="3">
        <v>4</v>
      </c>
      <c r="I23" s="3">
        <v>5</v>
      </c>
      <c r="J23" s="1">
        <v>5</v>
      </c>
    </row>
    <row r="24" spans="1:10" x14ac:dyDescent="0.35">
      <c r="B24" s="4">
        <v>0.02</v>
      </c>
      <c r="C24" s="3" t="s">
        <v>54</v>
      </c>
      <c r="D24" s="3">
        <v>1</v>
      </c>
      <c r="E24" s="3">
        <v>1</v>
      </c>
      <c r="F24" s="3">
        <v>2</v>
      </c>
      <c r="G24" s="3">
        <v>3</v>
      </c>
      <c r="H24" s="3">
        <v>4</v>
      </c>
      <c r="I24" s="3">
        <v>5</v>
      </c>
      <c r="J24" s="1">
        <v>1</v>
      </c>
    </row>
    <row r="25" spans="1:10" x14ac:dyDescent="0.35">
      <c r="B25" s="4">
        <v>0.01</v>
      </c>
      <c r="C25" s="3" t="s">
        <v>55</v>
      </c>
      <c r="D25" s="3">
        <v>5</v>
      </c>
      <c r="E25" s="3">
        <v>1</v>
      </c>
      <c r="F25" s="3">
        <v>2</v>
      </c>
      <c r="G25" s="3">
        <v>3</v>
      </c>
      <c r="H25" s="3">
        <v>4</v>
      </c>
      <c r="I25" s="3">
        <v>5</v>
      </c>
      <c r="J25" s="1">
        <v>5</v>
      </c>
    </row>
    <row r="26" spans="1:10" x14ac:dyDescent="0.35">
      <c r="B26" s="4">
        <v>0.01</v>
      </c>
      <c r="C26" s="3" t="s">
        <v>56</v>
      </c>
      <c r="D26" s="3">
        <v>5</v>
      </c>
      <c r="E26" s="3">
        <v>1</v>
      </c>
      <c r="F26" s="3">
        <v>2</v>
      </c>
      <c r="G26" s="3">
        <v>3</v>
      </c>
      <c r="H26" s="3">
        <v>4</v>
      </c>
      <c r="I26" s="3">
        <v>5</v>
      </c>
      <c r="J26" s="1">
        <v>5</v>
      </c>
    </row>
    <row r="27" spans="1:10" x14ac:dyDescent="0.35">
      <c r="A27" s="3" t="s">
        <v>57</v>
      </c>
      <c r="B27" s="4">
        <v>0.04</v>
      </c>
      <c r="C27" s="3" t="s">
        <v>58</v>
      </c>
      <c r="D27" s="3">
        <v>3</v>
      </c>
      <c r="E27" s="3">
        <v>1</v>
      </c>
      <c r="F27" s="3">
        <v>2</v>
      </c>
      <c r="G27" s="3">
        <v>3</v>
      </c>
      <c r="H27" s="3">
        <v>4</v>
      </c>
      <c r="I27" s="3">
        <v>5</v>
      </c>
      <c r="J27" s="1">
        <v>3</v>
      </c>
    </row>
    <row r="28" spans="1:10" x14ac:dyDescent="0.35">
      <c r="B28" s="4">
        <v>0.01</v>
      </c>
      <c r="C28" s="3" t="s">
        <v>59</v>
      </c>
      <c r="D28" s="3">
        <v>5</v>
      </c>
      <c r="E28" s="3">
        <v>1</v>
      </c>
      <c r="F28" s="3">
        <v>2</v>
      </c>
      <c r="G28" s="3">
        <v>3</v>
      </c>
      <c r="H28" s="3">
        <v>4</v>
      </c>
      <c r="I28" s="3">
        <v>5</v>
      </c>
      <c r="J28" s="1">
        <v>5</v>
      </c>
    </row>
    <row r="29" spans="1:10" x14ac:dyDescent="0.35">
      <c r="B29" s="4">
        <v>0.02</v>
      </c>
      <c r="C29" s="3" t="s">
        <v>60</v>
      </c>
      <c r="D29" s="3">
        <v>5</v>
      </c>
      <c r="E29" s="3">
        <v>1</v>
      </c>
      <c r="F29" s="3">
        <v>2</v>
      </c>
      <c r="G29" s="3">
        <v>3</v>
      </c>
      <c r="H29" s="3">
        <v>4</v>
      </c>
      <c r="I29" s="3">
        <v>5</v>
      </c>
      <c r="J29" s="1">
        <v>5</v>
      </c>
    </row>
    <row r="30" spans="1:10" x14ac:dyDescent="0.35">
      <c r="B30" s="4">
        <v>0.02</v>
      </c>
      <c r="C30" s="3" t="s">
        <v>61</v>
      </c>
      <c r="D30" s="3">
        <v>5</v>
      </c>
      <c r="E30" s="3">
        <v>1</v>
      </c>
      <c r="F30" s="3">
        <v>2</v>
      </c>
      <c r="G30" s="3">
        <v>3</v>
      </c>
      <c r="H30" s="3">
        <v>4</v>
      </c>
      <c r="I30" s="3">
        <v>5</v>
      </c>
      <c r="J30" s="1">
        <v>5</v>
      </c>
    </row>
    <row r="31" spans="1:10" x14ac:dyDescent="0.35">
      <c r="B31" s="4">
        <v>0.01</v>
      </c>
      <c r="C31" s="5" t="s">
        <v>62</v>
      </c>
      <c r="D31" s="3">
        <v>5</v>
      </c>
      <c r="E31" s="3">
        <v>1</v>
      </c>
      <c r="F31" s="3">
        <v>2</v>
      </c>
      <c r="G31" s="3">
        <v>3</v>
      </c>
      <c r="H31" s="3">
        <v>4</v>
      </c>
      <c r="I31" s="3">
        <v>5</v>
      </c>
      <c r="J31" s="1">
        <v>5</v>
      </c>
    </row>
    <row r="32" spans="1:10" x14ac:dyDescent="0.35">
      <c r="C32" s="6"/>
      <c r="D32" s="3"/>
    </row>
    <row r="33" spans="2:10" x14ac:dyDescent="0.35">
      <c r="B33" s="13"/>
      <c r="C33" s="14" t="s">
        <v>63</v>
      </c>
      <c r="D33" s="3"/>
      <c r="J33" s="15">
        <v>3.34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ulasToValues">
                <anchor moveWithCells="1" sizeWithCells="1">
                  <from>
                    <xdr:col>10</xdr:col>
                    <xdr:colOff>57150</xdr:colOff>
                    <xdr:row>17</xdr:row>
                    <xdr:rowOff>19050</xdr:rowOff>
                  </from>
                  <to>
                    <xdr:col>10</xdr:col>
                    <xdr:colOff>1346200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Plots</vt:lpstr>
      <vt:lpstr>New Template</vt:lpstr>
      <vt:lpstr>New Template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Orroth</dc:creator>
  <cp:lastModifiedBy>Gabe Orroth</cp:lastModifiedBy>
  <dcterms:created xsi:type="dcterms:W3CDTF">2024-07-31T00:00:44Z</dcterms:created>
  <dcterms:modified xsi:type="dcterms:W3CDTF">2024-08-01T04:40:42Z</dcterms:modified>
</cp:coreProperties>
</file>